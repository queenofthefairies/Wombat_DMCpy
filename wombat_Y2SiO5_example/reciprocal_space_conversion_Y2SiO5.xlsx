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wombat_instrument_work\eulerian_cradle\Wombat_DMCpy\wombat_Y2SiO5_example\"/>
    </mc:Choice>
  </mc:AlternateContent>
  <xr:revisionPtr revIDLastSave="0" documentId="13_ncr:1_{09D80226-766F-485C-8E66-B2EA08A6B402}" xr6:coauthVersionLast="47" xr6:coauthVersionMax="47" xr10:uidLastSave="{00000000-0000-0000-0000-000000000000}"/>
  <bookViews>
    <workbookView xWindow="-28920" yWindow="-120" windowWidth="29040" windowHeight="15840" activeTab="1" xr2:uid="{1785FB5C-C68B-4CD0-A3EB-01061EC28F90}"/>
  </bookViews>
  <sheets>
    <sheet name="2theta_to_Q" sheetId="2" r:id="rId1"/>
    <sheet name="Q_to_2the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 s="1"/>
  <c r="F12" i="1" s="1"/>
  <c r="D19" i="1"/>
  <c r="E19" i="1" s="1"/>
  <c r="F19" i="1" s="1"/>
  <c r="D18" i="1"/>
  <c r="E18" i="1" s="1"/>
  <c r="F18" i="1" s="1"/>
  <c r="D11" i="1"/>
  <c r="E11" i="1" s="1"/>
  <c r="F11" i="1" s="1"/>
  <c r="D6" i="1"/>
  <c r="E6" i="1" s="1"/>
  <c r="F6" i="1" s="1"/>
  <c r="D14" i="1"/>
  <c r="E14" i="1" s="1"/>
  <c r="F14" i="1" s="1"/>
  <c r="D9" i="1"/>
  <c r="E9" i="1" s="1"/>
  <c r="F9" i="1" s="1"/>
  <c r="D16" i="1"/>
  <c r="E16" i="1" s="1"/>
  <c r="F16" i="1" s="1"/>
  <c r="D5" i="1"/>
  <c r="E5" i="1" s="1"/>
  <c r="F5" i="1" s="1"/>
  <c r="D8" i="1"/>
  <c r="E8" i="1" s="1"/>
  <c r="F8" i="1" s="1"/>
  <c r="D13" i="1"/>
  <c r="E13" i="1" s="1"/>
  <c r="F13" i="1" s="1"/>
  <c r="D7" i="1"/>
  <c r="E7" i="1" s="1"/>
  <c r="F7" i="1" s="1"/>
  <c r="D10" i="1"/>
  <c r="E10" i="1" s="1"/>
  <c r="F10" i="1" s="1"/>
  <c r="D15" i="1"/>
  <c r="E15" i="1" s="1"/>
  <c r="F15" i="1" s="1"/>
  <c r="D17" i="1"/>
  <c r="E17" i="1" s="1"/>
  <c r="F17" i="1" s="1"/>
  <c r="B5" i="2"/>
  <c r="C5" i="2" s="1"/>
</calcChain>
</file>

<file path=xl/sharedStrings.xml><?xml version="1.0" encoding="utf-8"?>
<sst xmlns="http://schemas.openxmlformats.org/spreadsheetml/2006/main" count="21" uniqueCount="13">
  <si>
    <t>Handy dandy reciprocal space conversion thing</t>
  </si>
  <si>
    <t>Q</t>
  </si>
  <si>
    <t>Q (AA^-1)</t>
  </si>
  <si>
    <t>d (AA)</t>
  </si>
  <si>
    <t>Qz (AA^-1)</t>
  </si>
  <si>
    <t>Qx (AA^-1)</t>
  </si>
  <si>
    <t>Qy (AA^-1)</t>
  </si>
  <si>
    <t>wavelength (AA)</t>
  </si>
  <si>
    <t>Notes</t>
  </si>
  <si>
    <t>h</t>
  </si>
  <si>
    <t>k</t>
  </si>
  <si>
    <t>l</t>
  </si>
  <si>
    <r>
      <t>2</t>
    </r>
    <r>
      <rPr>
        <sz val="11"/>
        <color theme="1"/>
        <rFont val="Times New Roman"/>
        <family val="1"/>
      </rPr>
      <t>θ</t>
    </r>
    <r>
      <rPr>
        <sz val="11"/>
        <color theme="1"/>
        <rFont val="Aptos Narrow"/>
        <family val="2"/>
        <scheme val="minor"/>
      </rPr>
      <t xml:space="preserve"> (deg)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</si>
</sst>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BE972-CB34-4A99-8C8E-F9CCF059B4A6}" name="Table1" displayName="Table1" ref="A4:J19" totalsRowShown="0">
  <autoFilter ref="A4:J19" xr:uid="{B41BE972-CB34-4A99-8C8E-F9CCF059B4A6}"/>
  <sortState xmlns:xlrd2="http://schemas.microsoft.com/office/spreadsheetml/2017/richdata2" ref="A5:J19">
    <sortCondition ref="F4:F19"/>
  </sortState>
  <tableColumns count="10">
    <tableColumn id="1" xr3:uid="{12FBD9A9-996A-4CE8-BF2C-9D8DB76DB7E0}" name="Qx (AA^-1)"/>
    <tableColumn id="2" xr3:uid="{68A84B0B-23F3-4631-AE9F-03F7BD5417D6}" name="Qy (AA^-1)"/>
    <tableColumn id="3" xr3:uid="{FB6D0B0A-C7F6-4D58-8C84-7A8E2B8604A1}" name="Qz (AA^-1)"/>
    <tableColumn id="4" xr3:uid="{FF2D133C-86FE-4F7F-BF2B-CC15357C653E}" name="Q (AA^-1)">
      <calculatedColumnFormula>SQRT(A5^2+B5^2+C5^2)</calculatedColumnFormula>
    </tableColumn>
    <tableColumn id="5" xr3:uid="{012FE562-A178-4A1F-89BA-92500E76E51F}" name="d (AA)">
      <calculatedColumnFormula>2*PI()/D5</calculatedColumnFormula>
    </tableColumn>
    <tableColumn id="6" xr3:uid="{17095612-0EFF-4DBC-8220-1183E693D2FF}" name="2θ (deg)">
      <calculatedColumnFormula>DEGREES(2*ASIN($F$2/(2*E5)))</calculatedColumnFormula>
    </tableColumn>
    <tableColumn id="7" xr3:uid="{135A9FD9-E4C8-4BF4-8ED7-C4D61F920A92}" name="Notes"/>
    <tableColumn id="8" xr3:uid="{76F3069A-9656-4971-B764-D690563FB720}" name="h"/>
    <tableColumn id="9" xr3:uid="{DDC3777A-63D6-489C-8972-E600AD6BD9EA}" name="k"/>
    <tableColumn id="10" xr3:uid="{48B991D0-E48E-4F51-8DA0-CB7229800EA6}" name="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C6304-7CA2-4BCE-965E-783CF5745B27}">
  <dimension ref="A1:G5"/>
  <sheetViews>
    <sheetView workbookViewId="0">
      <selection activeCell="A5" sqref="A5"/>
    </sheetView>
  </sheetViews>
  <sheetFormatPr defaultRowHeight="15" x14ac:dyDescent="0.25"/>
  <cols>
    <col min="1" max="6" width="10.7109375" customWidth="1"/>
  </cols>
  <sheetData>
    <row r="1" spans="1:7" x14ac:dyDescent="0.25">
      <c r="A1" t="s">
        <v>0</v>
      </c>
      <c r="F1" t="s">
        <v>7</v>
      </c>
    </row>
    <row r="2" spans="1:7" x14ac:dyDescent="0.25">
      <c r="F2">
        <v>2.41</v>
      </c>
    </row>
    <row r="4" spans="1:7" x14ac:dyDescent="0.25">
      <c r="A4" t="s">
        <v>12</v>
      </c>
      <c r="B4" t="s">
        <v>3</v>
      </c>
      <c r="C4" t="s">
        <v>1</v>
      </c>
      <c r="D4" t="s">
        <v>8</v>
      </c>
      <c r="E4" t="s">
        <v>9</v>
      </c>
      <c r="F4" t="s">
        <v>10</v>
      </c>
      <c r="G4" t="s">
        <v>11</v>
      </c>
    </row>
    <row r="5" spans="1:7" x14ac:dyDescent="0.25">
      <c r="A5">
        <v>0</v>
      </c>
      <c r="B5" t="e">
        <f>$F$2/(2*SIN(RADIANS(A5)))</f>
        <v>#DIV/0!</v>
      </c>
      <c r="C5" t="e">
        <f>2*PI()/B5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DB032-1DCA-449C-9038-7B7A3A498C61}">
  <dimension ref="A1:J19"/>
  <sheetViews>
    <sheetView tabSelected="1" workbookViewId="0">
      <selection activeCell="N11" sqref="N11"/>
    </sheetView>
  </sheetViews>
  <sheetFormatPr defaultRowHeight="15" x14ac:dyDescent="0.25"/>
  <cols>
    <col min="1" max="3" width="12.42578125" customWidth="1"/>
    <col min="4" max="4" width="11.5703125" customWidth="1"/>
    <col min="5" max="6" width="10.7109375" customWidth="1"/>
  </cols>
  <sheetData>
    <row r="1" spans="1:10" x14ac:dyDescent="0.25">
      <c r="A1" t="s">
        <v>0</v>
      </c>
      <c r="F1" t="s">
        <v>7</v>
      </c>
    </row>
    <row r="2" spans="1:10" x14ac:dyDescent="0.25">
      <c r="F2">
        <v>2.41</v>
      </c>
    </row>
    <row r="4" spans="1:10" x14ac:dyDescent="0.25">
      <c r="A4" t="s">
        <v>5</v>
      </c>
      <c r="B4" t="s">
        <v>6</v>
      </c>
      <c r="C4" t="s">
        <v>4</v>
      </c>
      <c r="D4" t="s">
        <v>2</v>
      </c>
      <c r="E4" t="s">
        <v>3</v>
      </c>
      <c r="F4" t="s">
        <v>12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25">
      <c r="A5" s="1">
        <v>-0.61</v>
      </c>
      <c r="B5" s="1">
        <v>1.2776000000000001</v>
      </c>
      <c r="C5" s="1">
        <v>-3.6999999999999998E-2</v>
      </c>
      <c r="D5" s="1">
        <f>SQRT(A5^2+B5^2+C5^2)</f>
        <v>1.4162382426696436</v>
      </c>
      <c r="E5" s="1">
        <f>2*PI()/D5</f>
        <v>4.4365313108164832</v>
      </c>
      <c r="F5" s="1">
        <f>DEGREES(2*ASIN($F$2/(2*E5)))</f>
        <v>31.520019173072814</v>
      </c>
      <c r="G5" s="1"/>
      <c r="H5" s="1">
        <v>0</v>
      </c>
      <c r="I5" s="1">
        <v>0</v>
      </c>
      <c r="J5" s="1">
        <v>2</v>
      </c>
    </row>
    <row r="6" spans="1:10" x14ac:dyDescent="0.25">
      <c r="A6" s="2">
        <v>-1.714</v>
      </c>
      <c r="B6" s="2">
        <v>-0.46179999999999999</v>
      </c>
      <c r="C6" s="2">
        <v>-6.9000000000000006E-2</v>
      </c>
      <c r="D6" s="2">
        <f>SQRT(A6^2+B6^2+C6^2)</f>
        <v>1.776461719261071</v>
      </c>
      <c r="E6" s="2">
        <f>2*PI()/D6</f>
        <v>3.5369100493722496</v>
      </c>
      <c r="F6" s="2">
        <f>DEGREES(2*ASIN($F$2/(2*E6)))</f>
        <v>39.838184906229607</v>
      </c>
      <c r="G6" s="2"/>
      <c r="H6" s="2">
        <v>4</v>
      </c>
      <c r="I6" s="2">
        <v>0</v>
      </c>
      <c r="J6" s="2">
        <v>-2</v>
      </c>
    </row>
    <row r="7" spans="1:10" x14ac:dyDescent="0.25">
      <c r="A7" s="1">
        <v>-5.1999999999999998E-2</v>
      </c>
      <c r="B7" s="1">
        <v>2.1373000000000002</v>
      </c>
      <c r="C7" s="1">
        <v>-1.4999999999999999E-2</v>
      </c>
      <c r="D7" s="1">
        <f>SQRT(A7^2+B7^2+C7^2)</f>
        <v>2.137985100509356</v>
      </c>
      <c r="E7" s="1">
        <f>2*PI()/D7</f>
        <v>2.938834936540331</v>
      </c>
      <c r="F7" s="1">
        <f>DEGREES(2*ASIN($F$2/(2*E7)))</f>
        <v>48.412990318321839</v>
      </c>
      <c r="G7" s="1"/>
      <c r="H7" s="1">
        <v>2</v>
      </c>
      <c r="I7" s="1">
        <v>0</v>
      </c>
      <c r="J7" s="1">
        <v>2</v>
      </c>
    </row>
    <row r="8" spans="1:10" x14ac:dyDescent="0.25">
      <c r="A8" s="1">
        <v>-1.752</v>
      </c>
      <c r="B8" s="1">
        <v>1.6875</v>
      </c>
      <c r="C8" s="1">
        <v>-6.4000000000000001E-2</v>
      </c>
      <c r="D8" s="1">
        <f>SQRT(A8^2+B8^2+C8^2)</f>
        <v>2.4333631562099396</v>
      </c>
      <c r="E8" s="1">
        <f>2*PI()/D8</f>
        <v>2.5820993020071441</v>
      </c>
      <c r="F8" s="1">
        <f>DEGREES(2*ASIN($F$2/(2*E8)))</f>
        <v>55.637298479155213</v>
      </c>
      <c r="G8" s="1"/>
      <c r="H8" s="1">
        <v>2</v>
      </c>
      <c r="I8" s="1">
        <v>0</v>
      </c>
      <c r="J8" s="1">
        <v>-4</v>
      </c>
    </row>
    <row r="9" spans="1:10" x14ac:dyDescent="0.25">
      <c r="A9" s="1">
        <v>-2.3149999999999999</v>
      </c>
      <c r="B9" s="1">
        <v>0.82779999999999998</v>
      </c>
      <c r="C9" s="1">
        <v>-0.08</v>
      </c>
      <c r="D9" s="1">
        <f>SQRT(A9^2+B9^2+C9^2)</f>
        <v>2.4598532151329677</v>
      </c>
      <c r="E9" s="1">
        <f>2*PI()/D9</f>
        <v>2.5542927799616479</v>
      </c>
      <c r="F9" s="1">
        <f>DEGREES(2*ASIN($F$2/(2*E9)))</f>
        <v>56.296535760021541</v>
      </c>
      <c r="G9" s="1"/>
      <c r="H9" s="1">
        <v>4</v>
      </c>
      <c r="I9" s="1">
        <v>0</v>
      </c>
      <c r="J9" s="1">
        <v>-4</v>
      </c>
    </row>
    <row r="10" spans="1:10" x14ac:dyDescent="0.25">
      <c r="A10" s="1">
        <v>-1.21</v>
      </c>
      <c r="B10" s="1">
        <v>2.5571999999999999</v>
      </c>
      <c r="C10" s="1">
        <v>-3.6999999999999998E-2</v>
      </c>
      <c r="D10" s="1">
        <f>SQRT(A10^2+B10^2+C10^2)</f>
        <v>2.8292650706499738</v>
      </c>
      <c r="E10" s="1">
        <f>2*PI()/D10</f>
        <v>2.2207835428216471</v>
      </c>
      <c r="F10" s="1">
        <f>DEGREES(2*ASIN($F$2/(2*E10)))</f>
        <v>65.721791294985735</v>
      </c>
      <c r="G10" s="1"/>
      <c r="H10" s="1">
        <v>0</v>
      </c>
      <c r="I10" s="1">
        <v>0</v>
      </c>
      <c r="J10" s="1">
        <v>4</v>
      </c>
    </row>
    <row r="11" spans="1:10" x14ac:dyDescent="0.25">
      <c r="A11" s="1">
        <v>-2.8610000000000002</v>
      </c>
      <c r="B11" s="1">
        <v>-3.2000000000000001E-2</v>
      </c>
      <c r="C11" s="1">
        <v>-0.107</v>
      </c>
      <c r="D11" s="1">
        <f>SQRT(A11^2+B11^2+C11^2)</f>
        <v>2.8631790024376755</v>
      </c>
      <c r="E11" s="1">
        <f>2*PI()/D11</f>
        <v>2.1944786902356292</v>
      </c>
      <c r="F11" s="1">
        <f>DEGREES(2*ASIN($F$2/(2*E11)))</f>
        <v>66.611316408933178</v>
      </c>
      <c r="G11" s="1"/>
      <c r="H11" s="1">
        <v>6</v>
      </c>
      <c r="I11" s="1">
        <v>0</v>
      </c>
      <c r="J11" s="1">
        <v>-4</v>
      </c>
    </row>
    <row r="12" spans="1:10" x14ac:dyDescent="0.25">
      <c r="A12" s="1">
        <v>-2.81</v>
      </c>
      <c r="B12" s="1">
        <v>-2.1812999999999998</v>
      </c>
      <c r="C12" s="1">
        <v>-0.12</v>
      </c>
      <c r="D12" s="1">
        <f>SQRT(A12^2+B12^2+C12^2)</f>
        <v>3.5592934256675157</v>
      </c>
      <c r="E12" s="1">
        <f>2*PI()/D12</f>
        <v>1.7652900606252286</v>
      </c>
      <c r="F12" s="1">
        <f>DEGREES(2*ASIN($F$2/(2*E12)))</f>
        <v>86.095458819672444</v>
      </c>
      <c r="G12" s="1"/>
      <c r="H12" s="1">
        <v>8</v>
      </c>
      <c r="I12" s="1">
        <v>0</v>
      </c>
      <c r="J12" s="1">
        <v>-2</v>
      </c>
    </row>
    <row r="13" spans="1:10" x14ac:dyDescent="0.25">
      <c r="A13" s="1">
        <v>-2.9260000000000002</v>
      </c>
      <c r="B13" s="1">
        <v>2.1173000000000002</v>
      </c>
      <c r="C13" s="1">
        <v>-0.09</v>
      </c>
      <c r="D13" s="1">
        <f>SQRT(A13^2+B13^2+C13^2)</f>
        <v>3.6128292638872384</v>
      </c>
      <c r="E13" s="1">
        <f>2*PI()/D13</f>
        <v>1.7391315360469506</v>
      </c>
      <c r="F13" s="1">
        <f>DEGREES(2*ASIN($F$2/(2*E13)))</f>
        <v>87.716176526536088</v>
      </c>
      <c r="G13" s="1"/>
      <c r="H13" s="1">
        <v>4</v>
      </c>
      <c r="I13" s="1">
        <v>0</v>
      </c>
      <c r="J13" s="1">
        <v>-6</v>
      </c>
    </row>
    <row r="14" spans="1:10" x14ac:dyDescent="0.25">
      <c r="A14" s="1">
        <v>-3.4620000000000002</v>
      </c>
      <c r="B14" s="1">
        <v>1.2576000000000001</v>
      </c>
      <c r="C14" s="1">
        <v>-0.123</v>
      </c>
      <c r="D14" s="1">
        <f>SQRT(A14^2+B14^2+C14^2)</f>
        <v>3.6853942475670092</v>
      </c>
      <c r="E14" s="1">
        <f>2*PI()/D14</f>
        <v>1.7048882385724577</v>
      </c>
      <c r="F14" s="1">
        <f>DEGREES(2*ASIN($F$2/(2*E14)))</f>
        <v>89.948868904452766</v>
      </c>
      <c r="G14" s="1"/>
      <c r="H14" s="1">
        <v>6</v>
      </c>
      <c r="I14" s="1">
        <v>0</v>
      </c>
      <c r="J14" s="1">
        <v>-6</v>
      </c>
    </row>
    <row r="15" spans="1:10" x14ac:dyDescent="0.25">
      <c r="A15" s="1">
        <v>-2.379</v>
      </c>
      <c r="B15" s="1">
        <v>2.9870000000000001</v>
      </c>
      <c r="C15" s="1">
        <v>-7.3999999999999996E-2</v>
      </c>
      <c r="D15" s="1">
        <f>SQRT(A15^2+B15^2+C15^2)</f>
        <v>3.8193305696155706</v>
      </c>
      <c r="E15" s="1">
        <f>2*PI()/D15</f>
        <v>1.6451012010233017</v>
      </c>
      <c r="F15" s="1">
        <f>DEGREES(2*ASIN($F$2/(2*E15)))</f>
        <v>94.189030827168281</v>
      </c>
      <c r="G15" s="1"/>
      <c r="H15" s="1">
        <v>2</v>
      </c>
      <c r="I15" s="1">
        <v>0</v>
      </c>
      <c r="J15" s="1">
        <v>-6</v>
      </c>
    </row>
    <row r="16" spans="1:10" x14ac:dyDescent="0.25">
      <c r="A16">
        <v>-4.0369999999999999</v>
      </c>
      <c r="B16">
        <v>0.37790000000000001</v>
      </c>
      <c r="C16">
        <v>-0.13700000000000001</v>
      </c>
      <c r="D16">
        <f>SQRT(A16^2+B16^2+C16^2)</f>
        <v>4.0569627074943639</v>
      </c>
      <c r="E16">
        <f>2*PI()/D16</f>
        <v>1.5487412037514556</v>
      </c>
      <c r="F16">
        <f>DEGREES(2*ASIN($F$2/(2*E16)))</f>
        <v>102.16498524686074</v>
      </c>
      <c r="H16">
        <v>8</v>
      </c>
      <c r="I16">
        <v>0</v>
      </c>
      <c r="J16">
        <v>-6</v>
      </c>
    </row>
    <row r="17" spans="1:10" x14ac:dyDescent="0.25">
      <c r="A17">
        <v>-1.8320000000000001</v>
      </c>
      <c r="B17">
        <v>3.8567999999999998</v>
      </c>
      <c r="C17">
        <v>-5.2999999999999999E-2</v>
      </c>
      <c r="D17">
        <f>SQRT(A17^2+B17^2+C17^2)</f>
        <v>4.270121689132524</v>
      </c>
      <c r="E17">
        <f>2*PI()/D17</f>
        <v>1.4714300351604304</v>
      </c>
      <c r="F17">
        <f>DEGREES(2*ASIN($F$2/(2*E17)))</f>
        <v>109.95589573386098</v>
      </c>
      <c r="H17">
        <v>0</v>
      </c>
      <c r="I17">
        <v>0</v>
      </c>
      <c r="J17">
        <v>6</v>
      </c>
    </row>
    <row r="18" spans="1:10" x14ac:dyDescent="0.25">
      <c r="A18" s="2">
        <v>-3.9710000000000001</v>
      </c>
      <c r="B18" s="2">
        <v>-1.7614000000000001</v>
      </c>
      <c r="C18" s="2">
        <v>-0.14399999999999999</v>
      </c>
      <c r="D18" s="2">
        <f>SQRT(A18^2+B18^2+C18^2)</f>
        <v>4.346505143215639</v>
      </c>
      <c r="E18" s="2">
        <f>2*PI()/D18</f>
        <v>1.4455718100292294</v>
      </c>
      <c r="F18" s="2">
        <f>DEGREES(2*ASIN($F$2/(2*E18)))</f>
        <v>112.93656862004475</v>
      </c>
      <c r="G18" s="2"/>
      <c r="H18" s="2">
        <v>4</v>
      </c>
      <c r="I18" s="2">
        <v>0</v>
      </c>
      <c r="J18" s="2">
        <v>4</v>
      </c>
    </row>
    <row r="19" spans="1:10" x14ac:dyDescent="0.25">
      <c r="D19">
        <f>SQRT(A19^2+B19^2+C19^2)</f>
        <v>0</v>
      </c>
      <c r="E19" t="e">
        <f>2*PI()/D19</f>
        <v>#DIV/0!</v>
      </c>
      <c r="F19" t="e">
        <f>DEGREES(2*ASIN($F$2/(2*E19)))</f>
        <v>#DIV/0!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2theta_to_Q</vt:lpstr>
      <vt:lpstr>Q_to_2theta</vt:lpstr>
    </vt:vector>
  </TitlesOfParts>
  <Company>ANSTO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TOBIN, Siobhan</dc:creator>
  <cp:lastModifiedBy>TOBIN, Siobhan</cp:lastModifiedBy>
  <dcterms:created xsi:type="dcterms:W3CDTF">2025-04-01T23:28:17Z</dcterms:created>
  <dcterms:modified xsi:type="dcterms:W3CDTF">2025-04-07T05:28:27Z</dcterms:modified>
</cp:coreProperties>
</file>