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wombat_instrument_work\eulerian_cradle\Wombat_DMCpy\wombat_Y2SiO5_example\"/>
    </mc:Choice>
  </mc:AlternateContent>
  <xr:revisionPtr revIDLastSave="0" documentId="13_ncr:1_{6D0DB067-2416-4887-B273-FF2928637730}" xr6:coauthVersionLast="47" xr6:coauthVersionMax="47" xr10:uidLastSave="{00000000-0000-0000-0000-000000000000}"/>
  <bookViews>
    <workbookView xWindow="-26760" yWindow="2160" windowWidth="21600" windowHeight="12510" activeTab="1" xr2:uid="{1785FB5C-C68B-4CD0-A3EB-01061EC28F90}"/>
  </bookViews>
  <sheets>
    <sheet name="2theta_to_Q" sheetId="2" r:id="rId1"/>
    <sheet name="Q_to_2the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D7" i="1"/>
  <c r="E7" i="1" s="1"/>
  <c r="F7" i="1" s="1"/>
  <c r="D8" i="1"/>
  <c r="E8" i="1" s="1"/>
  <c r="F8" i="1" s="1"/>
  <c r="E9" i="1"/>
  <c r="F9" i="1" s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6" i="1"/>
  <c r="E6" i="1" s="1"/>
  <c r="F6" i="1" s="1"/>
  <c r="B5" i="2"/>
  <c r="C5" i="2" s="1"/>
  <c r="D5" i="1"/>
  <c r="E5" i="1" s="1"/>
  <c r="F5" i="1" s="1"/>
</calcChain>
</file>

<file path=xl/sharedStrings.xml><?xml version="1.0" encoding="utf-8"?>
<sst xmlns="http://schemas.openxmlformats.org/spreadsheetml/2006/main" count="21" uniqueCount="13">
  <si>
    <t>Handy dandy reciprocal space conversion thing</t>
  </si>
  <si>
    <t>Q</t>
  </si>
  <si>
    <t>Q (AA^-1)</t>
  </si>
  <si>
    <t>d (AA)</t>
  </si>
  <si>
    <t>Qz (AA^-1)</t>
  </si>
  <si>
    <t>Qx (AA^-1)</t>
  </si>
  <si>
    <t>Qy (AA^-1)</t>
  </si>
  <si>
    <t>wavelength (AA)</t>
  </si>
  <si>
    <t>Notes</t>
  </si>
  <si>
    <t>h</t>
  </si>
  <si>
    <t>k</t>
  </si>
  <si>
    <t>l</t>
  </si>
  <si>
    <r>
      <t>2</t>
    </r>
    <r>
      <rPr>
        <sz val="11"/>
        <color theme="1"/>
        <rFont val="Times New Roman"/>
        <family val="1"/>
      </rPr>
      <t>θ</t>
    </r>
    <r>
      <rPr>
        <sz val="11"/>
        <color theme="1"/>
        <rFont val="Aptos Narrow"/>
        <family val="2"/>
        <scheme val="minor"/>
      </rPr>
      <t xml:space="preserve"> (deg)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</si>
</sst>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6304-7CA2-4BCE-965E-783CF5745B27}">
  <dimension ref="A1:G5"/>
  <sheetViews>
    <sheetView workbookViewId="0">
      <selection activeCell="A5" sqref="A5"/>
    </sheetView>
  </sheetViews>
  <sheetFormatPr defaultRowHeight="15" x14ac:dyDescent="0.25"/>
  <cols>
    <col min="1" max="6" width="10.7109375" customWidth="1"/>
  </cols>
  <sheetData>
    <row r="1" spans="1:7" x14ac:dyDescent="0.25">
      <c r="A1" t="s">
        <v>0</v>
      </c>
      <c r="F1" t="s">
        <v>7</v>
      </c>
    </row>
    <row r="2" spans="1:7" x14ac:dyDescent="0.25">
      <c r="F2">
        <v>2.41</v>
      </c>
    </row>
    <row r="4" spans="1:7" x14ac:dyDescent="0.25">
      <c r="A4" t="s">
        <v>12</v>
      </c>
      <c r="B4" t="s">
        <v>3</v>
      </c>
      <c r="C4" t="s">
        <v>1</v>
      </c>
      <c r="D4" t="s">
        <v>8</v>
      </c>
      <c r="E4" t="s">
        <v>9</v>
      </c>
      <c r="F4" t="s">
        <v>10</v>
      </c>
      <c r="G4" t="s">
        <v>11</v>
      </c>
    </row>
    <row r="5" spans="1:7" x14ac:dyDescent="0.25">
      <c r="A5">
        <v>0</v>
      </c>
      <c r="B5" t="e">
        <f>$F$2/(2*SIN(RADIANS(A5)))</f>
        <v>#DIV/0!</v>
      </c>
      <c r="C5" t="e">
        <f>2*PI()/B5</f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DB032-1DCA-449C-9038-7B7A3A498C61}">
  <dimension ref="A1:J23"/>
  <sheetViews>
    <sheetView tabSelected="1" workbookViewId="0">
      <selection activeCell="L9" sqref="L9"/>
    </sheetView>
  </sheetViews>
  <sheetFormatPr defaultRowHeight="15" x14ac:dyDescent="0.25"/>
  <cols>
    <col min="1" max="6" width="10.7109375" customWidth="1"/>
  </cols>
  <sheetData>
    <row r="1" spans="1:10" x14ac:dyDescent="0.25">
      <c r="A1" t="s">
        <v>0</v>
      </c>
      <c r="F1" t="s">
        <v>7</v>
      </c>
    </row>
    <row r="2" spans="1:10" x14ac:dyDescent="0.25">
      <c r="F2">
        <v>2.41</v>
      </c>
    </row>
    <row r="4" spans="1:10" x14ac:dyDescent="0.25">
      <c r="A4" t="s">
        <v>5</v>
      </c>
      <c r="B4" t="s">
        <v>6</v>
      </c>
      <c r="C4" t="s">
        <v>4</v>
      </c>
      <c r="D4" t="s">
        <v>2</v>
      </c>
      <c r="E4" t="s">
        <v>3</v>
      </c>
      <c r="F4" t="s">
        <v>12</v>
      </c>
      <c r="G4" t="s">
        <v>8</v>
      </c>
      <c r="H4" t="s">
        <v>9</v>
      </c>
      <c r="I4" t="s">
        <v>10</v>
      </c>
      <c r="J4" t="s">
        <v>11</v>
      </c>
    </row>
    <row r="5" spans="1:10" x14ac:dyDescent="0.25">
      <c r="A5">
        <v>-6.4000000000000001E-2</v>
      </c>
      <c r="B5">
        <v>2.145</v>
      </c>
      <c r="C5">
        <v>-5.0000000000000001E-3</v>
      </c>
      <c r="D5">
        <f>SQRT(A5^2+B5^2+C5^2)</f>
        <v>2.1459603910603753</v>
      </c>
      <c r="E5">
        <f>2*PI()/D5</f>
        <v>2.9279129910104724</v>
      </c>
      <c r="F5">
        <f>DEGREES(2*ASIN($F$2/(2*E5)))</f>
        <v>48.605228839417563</v>
      </c>
      <c r="H5">
        <v>2</v>
      </c>
      <c r="I5">
        <v>0</v>
      </c>
      <c r="J5">
        <v>2</v>
      </c>
    </row>
    <row r="6" spans="1:10" x14ac:dyDescent="0.25">
      <c r="A6">
        <v>-3.972</v>
      </c>
      <c r="B6">
        <v>-1.7649999999999999</v>
      </c>
      <c r="C6">
        <v>-0.15490000000000001</v>
      </c>
      <c r="D6">
        <f>SQRT(A6^2+B6^2+C6^2)</f>
        <v>4.3492531554279523</v>
      </c>
      <c r="E6">
        <f>2*PI()/D6</f>
        <v>1.4446584465514611</v>
      </c>
      <c r="F6">
        <f>DEGREES(2*ASIN($F$2/(2*E6)))</f>
        <v>113.0459740830986</v>
      </c>
      <c r="H6">
        <v>4</v>
      </c>
      <c r="I6">
        <v>0</v>
      </c>
      <c r="J6">
        <v>-4</v>
      </c>
    </row>
    <row r="7" spans="1:10" x14ac:dyDescent="0.25">
      <c r="A7">
        <v>-4.0270000000000001</v>
      </c>
      <c r="B7">
        <v>0.38400000000000001</v>
      </c>
      <c r="C7">
        <v>-0.16489999999999999</v>
      </c>
      <c r="D7">
        <f t="shared" ref="D7:D23" si="0">SQRT(A7^2+B7^2+C7^2)</f>
        <v>4.048626558476343</v>
      </c>
      <c r="E7">
        <f t="shared" ref="E7:E23" si="1">2*PI()/D7</f>
        <v>1.5519300721932219</v>
      </c>
      <c r="F7">
        <f t="shared" ref="F7:F23" si="2">DEGREES(2*ASIN($F$2/(2*E7)))</f>
        <v>101.87381673624584</v>
      </c>
      <c r="H7">
        <v>8</v>
      </c>
      <c r="I7">
        <v>0</v>
      </c>
      <c r="J7">
        <v>-6</v>
      </c>
    </row>
    <row r="8" spans="1:10" x14ac:dyDescent="0.25">
      <c r="A8">
        <v>-1.7050000000000001</v>
      </c>
      <c r="B8">
        <v>-0.45300000000000001</v>
      </c>
      <c r="C8">
        <v>-8.4900000000000003E-2</v>
      </c>
      <c r="D8">
        <f t="shared" si="0"/>
        <v>1.7661942163873146</v>
      </c>
      <c r="E8">
        <f t="shared" si="1"/>
        <v>3.5574713408537884</v>
      </c>
      <c r="F8">
        <f t="shared" si="2"/>
        <v>39.598273052151043</v>
      </c>
      <c r="H8">
        <v>4</v>
      </c>
      <c r="I8">
        <v>0</v>
      </c>
      <c r="J8">
        <v>-2</v>
      </c>
    </row>
    <row r="9" spans="1:10" x14ac:dyDescent="0.25">
      <c r="D9">
        <f t="shared" si="0"/>
        <v>0</v>
      </c>
      <c r="E9" t="e">
        <f t="shared" si="1"/>
        <v>#DIV/0!</v>
      </c>
      <c r="F9" t="e">
        <f t="shared" si="2"/>
        <v>#DIV/0!</v>
      </c>
    </row>
    <row r="10" spans="1:10" x14ac:dyDescent="0.25">
      <c r="D10">
        <f t="shared" si="0"/>
        <v>0</v>
      </c>
      <c r="E10" t="e">
        <f t="shared" si="1"/>
        <v>#DIV/0!</v>
      </c>
      <c r="F10" t="e">
        <f t="shared" si="2"/>
        <v>#DIV/0!</v>
      </c>
    </row>
    <row r="11" spans="1:10" x14ac:dyDescent="0.25">
      <c r="D11">
        <f t="shared" si="0"/>
        <v>0</v>
      </c>
      <c r="E11" t="e">
        <f t="shared" si="1"/>
        <v>#DIV/0!</v>
      </c>
      <c r="F11" t="e">
        <f t="shared" si="2"/>
        <v>#DIV/0!</v>
      </c>
    </row>
    <row r="12" spans="1:10" x14ac:dyDescent="0.25">
      <c r="D12">
        <f t="shared" si="0"/>
        <v>0</v>
      </c>
      <c r="E12" t="e">
        <f t="shared" si="1"/>
        <v>#DIV/0!</v>
      </c>
      <c r="F12" t="e">
        <f t="shared" si="2"/>
        <v>#DIV/0!</v>
      </c>
    </row>
    <row r="13" spans="1:10" x14ac:dyDescent="0.25">
      <c r="D13">
        <f t="shared" si="0"/>
        <v>0</v>
      </c>
      <c r="E13" t="e">
        <f t="shared" si="1"/>
        <v>#DIV/0!</v>
      </c>
      <c r="F13" t="e">
        <f t="shared" si="2"/>
        <v>#DIV/0!</v>
      </c>
    </row>
    <row r="14" spans="1:10" x14ac:dyDescent="0.25">
      <c r="D14">
        <f t="shared" si="0"/>
        <v>0</v>
      </c>
      <c r="E14" t="e">
        <f t="shared" si="1"/>
        <v>#DIV/0!</v>
      </c>
      <c r="F14" t="e">
        <f t="shared" si="2"/>
        <v>#DIV/0!</v>
      </c>
    </row>
    <row r="15" spans="1:10" x14ac:dyDescent="0.25">
      <c r="D15">
        <f t="shared" si="0"/>
        <v>0</v>
      </c>
      <c r="E15" t="e">
        <f t="shared" si="1"/>
        <v>#DIV/0!</v>
      </c>
      <c r="F15" t="e">
        <f t="shared" si="2"/>
        <v>#DIV/0!</v>
      </c>
    </row>
    <row r="16" spans="1:10" x14ac:dyDescent="0.25">
      <c r="D16">
        <f t="shared" si="0"/>
        <v>0</v>
      </c>
      <c r="E16" t="e">
        <f t="shared" si="1"/>
        <v>#DIV/0!</v>
      </c>
      <c r="F16" t="e">
        <f t="shared" si="2"/>
        <v>#DIV/0!</v>
      </c>
    </row>
    <row r="17" spans="4:6" x14ac:dyDescent="0.25">
      <c r="D17">
        <f t="shared" si="0"/>
        <v>0</v>
      </c>
      <c r="E17" t="e">
        <f t="shared" si="1"/>
        <v>#DIV/0!</v>
      </c>
      <c r="F17" t="e">
        <f t="shared" si="2"/>
        <v>#DIV/0!</v>
      </c>
    </row>
    <row r="18" spans="4:6" x14ac:dyDescent="0.25">
      <c r="D18">
        <f t="shared" si="0"/>
        <v>0</v>
      </c>
      <c r="E18" t="e">
        <f t="shared" si="1"/>
        <v>#DIV/0!</v>
      </c>
      <c r="F18" t="e">
        <f t="shared" si="2"/>
        <v>#DIV/0!</v>
      </c>
    </row>
    <row r="19" spans="4:6" x14ac:dyDescent="0.25">
      <c r="D19">
        <f t="shared" si="0"/>
        <v>0</v>
      </c>
      <c r="E19" t="e">
        <f t="shared" si="1"/>
        <v>#DIV/0!</v>
      </c>
      <c r="F19" t="e">
        <f t="shared" si="2"/>
        <v>#DIV/0!</v>
      </c>
    </row>
    <row r="20" spans="4:6" x14ac:dyDescent="0.25">
      <c r="D20">
        <f t="shared" si="0"/>
        <v>0</v>
      </c>
      <c r="E20" t="e">
        <f t="shared" si="1"/>
        <v>#DIV/0!</v>
      </c>
      <c r="F20" t="e">
        <f t="shared" si="2"/>
        <v>#DIV/0!</v>
      </c>
    </row>
    <row r="21" spans="4:6" x14ac:dyDescent="0.25">
      <c r="D21">
        <f t="shared" si="0"/>
        <v>0</v>
      </c>
      <c r="E21" t="e">
        <f t="shared" si="1"/>
        <v>#DIV/0!</v>
      </c>
      <c r="F21" t="e">
        <f t="shared" si="2"/>
        <v>#DIV/0!</v>
      </c>
    </row>
    <row r="22" spans="4:6" x14ac:dyDescent="0.25">
      <c r="D22">
        <f t="shared" si="0"/>
        <v>0</v>
      </c>
      <c r="E22" t="e">
        <f t="shared" si="1"/>
        <v>#DIV/0!</v>
      </c>
      <c r="F22" t="e">
        <f t="shared" si="2"/>
        <v>#DIV/0!</v>
      </c>
    </row>
    <row r="23" spans="4:6" x14ac:dyDescent="0.25">
      <c r="D23">
        <f t="shared" si="0"/>
        <v>0</v>
      </c>
      <c r="E23" t="e">
        <f t="shared" si="1"/>
        <v>#DIV/0!</v>
      </c>
      <c r="F23" t="e">
        <f t="shared" si="2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2theta_to_Q</vt:lpstr>
      <vt:lpstr>Q_to_2theta</vt:lpstr>
    </vt:vector>
  </TitlesOfParts>
  <Company>ANSTO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TOBIN, Siobhan</dc:creator>
  <cp:lastModifiedBy>TOBIN, Siobhan</cp:lastModifiedBy>
  <dcterms:created xsi:type="dcterms:W3CDTF">2025-04-01T23:28:17Z</dcterms:created>
  <dcterms:modified xsi:type="dcterms:W3CDTF">2025-04-04T03:26:52Z</dcterms:modified>
</cp:coreProperties>
</file>