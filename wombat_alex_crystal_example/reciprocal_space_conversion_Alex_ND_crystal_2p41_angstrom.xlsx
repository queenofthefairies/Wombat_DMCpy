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eulerian_cradle\Wombat_DMCpy\wombat_alex_crystal_example\"/>
    </mc:Choice>
  </mc:AlternateContent>
  <xr:revisionPtr revIDLastSave="0" documentId="13_ncr:1_{8401091A-F401-4307-819A-B74810EB8B12}" xr6:coauthVersionLast="47" xr6:coauthVersionMax="47" xr10:uidLastSave="{00000000-0000-0000-0000-000000000000}"/>
  <bookViews>
    <workbookView xWindow="-28920" yWindow="-120" windowWidth="29040" windowHeight="15840" activeTab="1" xr2:uid="{1785FB5C-C68B-4CD0-A3EB-01061EC28F90}"/>
  </bookViews>
  <sheets>
    <sheet name="2theta_to_Q" sheetId="2" r:id="rId1"/>
    <sheet name="Q_to_2the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9" i="1"/>
  <c r="E9" i="1" s="1"/>
  <c r="F9" i="1" s="1"/>
  <c r="D11" i="1"/>
  <c r="E11" i="1" s="1"/>
  <c r="F11" i="1" s="1"/>
  <c r="D5" i="1"/>
  <c r="E5" i="1" s="1"/>
  <c r="F5" i="1" s="1"/>
  <c r="D8" i="1"/>
  <c r="E8" i="1" s="1"/>
  <c r="F8" i="1" s="1"/>
  <c r="D10" i="1"/>
  <c r="E10" i="1" s="1"/>
  <c r="F10" i="1" s="1"/>
  <c r="D6" i="1"/>
  <c r="E6" i="1" s="1"/>
  <c r="F6" i="1" s="1"/>
  <c r="D7" i="1"/>
  <c r="E7" i="1" s="1"/>
  <c r="F7" i="1" s="1"/>
  <c r="B5" i="2"/>
  <c r="C5" i="2" s="1"/>
</calcChain>
</file>

<file path=xl/sharedStrings.xml><?xml version="1.0" encoding="utf-8"?>
<sst xmlns="http://schemas.openxmlformats.org/spreadsheetml/2006/main" count="40" uniqueCount="30">
  <si>
    <t>Handy dandy reciprocal space conversion thing</t>
  </si>
  <si>
    <t>Q</t>
  </si>
  <si>
    <t>Q (AA^-1)</t>
  </si>
  <si>
    <t>d (AA)</t>
  </si>
  <si>
    <t>Qz (AA^-1)</t>
  </si>
  <si>
    <t>Qx (AA^-1)</t>
  </si>
  <si>
    <t>Qy (AA^-1)</t>
  </si>
  <si>
    <t>wavelength (AA)</t>
  </si>
  <si>
    <t>Notes</t>
  </si>
  <si>
    <t>h</t>
  </si>
  <si>
    <t>k</t>
  </si>
  <si>
    <t>l</t>
  </si>
  <si>
    <r>
      <t>2</t>
    </r>
    <r>
      <rPr>
        <sz val="11"/>
        <color theme="1"/>
        <rFont val="Times New Roman"/>
        <family val="1"/>
      </rPr>
      <t>θ</t>
    </r>
    <r>
      <rPr>
        <sz val="11"/>
        <color theme="1"/>
        <rFont val="Aptos Narrow"/>
        <family val="2"/>
        <scheme val="minor"/>
      </rPr>
      <t xml:space="preserve"> (deg)</t>
    </r>
  </si>
  <si>
    <t>Column1</t>
  </si>
  <si>
    <t>weak</t>
  </si>
  <si>
    <t>? Twinning begins</t>
  </si>
  <si>
    <t>Twinned - chose peak lower in Qz (stronger)</t>
  </si>
  <si>
    <t xml:space="preserve">Twinned - chose peak lower in Qz (stronger), </t>
  </si>
  <si>
    <t>Candidate peaks based on 2θ (ordered by intensity)</t>
  </si>
  <si>
    <t>(1 1 1), (0 2 2), (0, 3, 1) -- very similar intensities</t>
  </si>
  <si>
    <t>(0 4 1), (1 2 -3)</t>
  </si>
  <si>
    <t>(1 0 2), (0 4 0)</t>
  </si>
  <si>
    <t>(0 6 0) -- weakish</t>
  </si>
  <si>
    <t>(0 8 0)-- moderately strong</t>
  </si>
  <si>
    <t>(0 3 1) or (0 -3 -1) or (0 -3 1) or (0 3 -1)</t>
  </si>
  <si>
    <t>(0 4 1) M4</t>
  </si>
  <si>
    <t>(1 0 0), (0 0 2), (0 2 1) -- (0 2 1) is weakish, which fits</t>
  </si>
  <si>
    <t>By hand Qx index</t>
  </si>
  <si>
    <t>By hand Qy index</t>
  </si>
  <si>
    <t>(0 9 1) 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</si>
</sst>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BE972-CB34-4A99-8C8E-F9CCF059B4A6}" name="Table1" displayName="Table1" ref="A4:N19" totalsRowShown="0">
  <autoFilter ref="A4:N19" xr:uid="{B41BE972-CB34-4A99-8C8E-F9CCF059B4A6}"/>
  <sortState xmlns:xlrd2="http://schemas.microsoft.com/office/spreadsheetml/2017/richdata2" ref="A5:N18">
    <sortCondition ref="F4:F19"/>
  </sortState>
  <tableColumns count="14">
    <tableColumn id="1" xr3:uid="{12FBD9A9-996A-4CE8-BF2C-9D8DB76DB7E0}" name="Qx (AA^-1)"/>
    <tableColumn id="2" xr3:uid="{68A84B0B-23F3-4631-AE9F-03F7BD5417D6}" name="Qy (AA^-1)"/>
    <tableColumn id="3" xr3:uid="{FB6D0B0A-C7F6-4D58-8C84-7A8E2B8604A1}" name="Qz (AA^-1)"/>
    <tableColumn id="4" xr3:uid="{FF2D133C-86FE-4F7F-BF2B-CC15357C653E}" name="Q (AA^-1)">
      <calculatedColumnFormula>SQRT(A5^2+B5^2+C5^2)</calculatedColumnFormula>
    </tableColumn>
    <tableColumn id="5" xr3:uid="{012FE562-A178-4A1F-89BA-92500E76E51F}" name="d (AA)">
      <calculatedColumnFormula>2*PI()/D5</calculatedColumnFormula>
    </tableColumn>
    <tableColumn id="6" xr3:uid="{17095612-0EFF-4DBC-8220-1183E693D2FF}" name="2θ (deg)">
      <calculatedColumnFormula>DEGREES(2*ASIN($F$2/(2*E5)))</calculatedColumnFormula>
    </tableColumn>
    <tableColumn id="7" xr3:uid="{135A9FD9-E4C8-4BF4-8ED7-C4D61F920A92}" name="Notes"/>
    <tableColumn id="14" xr3:uid="{BD966863-DC99-4BA8-AA2B-927CB47FBE3C}" name="Candidate peaks based on 2θ (ordered by intensity)"/>
    <tableColumn id="12" xr3:uid="{E2623C8F-863E-4BFB-B8F0-974C3DE57CCD}" name="By hand Qx index"/>
    <tableColumn id="11" xr3:uid="{8168C8B9-7AE7-455C-8D4A-501E72B8335C}" name="By hand Qy index"/>
    <tableColumn id="13" xr3:uid="{9C336F51-668B-4995-9FE4-C3903AFE217C}" name="Column1"/>
    <tableColumn id="8" xr3:uid="{76F3069A-9656-4971-B764-D690563FB720}" name="h"/>
    <tableColumn id="9" xr3:uid="{DDC3777A-63D6-489C-8972-E600AD6BD9EA}" name="k"/>
    <tableColumn id="10" xr3:uid="{48B991D0-E48E-4F51-8DA0-CB7229800EA6}" name="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6304-7CA2-4BCE-965E-783CF5745B27}">
  <dimension ref="A1:G5"/>
  <sheetViews>
    <sheetView workbookViewId="0">
      <selection activeCell="A5" sqref="A5"/>
    </sheetView>
  </sheetViews>
  <sheetFormatPr defaultRowHeight="15" x14ac:dyDescent="0.25"/>
  <cols>
    <col min="1" max="6" width="10.7109375" customWidth="1"/>
  </cols>
  <sheetData>
    <row r="1" spans="1:7" x14ac:dyDescent="0.25">
      <c r="A1" t="s">
        <v>0</v>
      </c>
      <c r="F1" t="s">
        <v>7</v>
      </c>
    </row>
    <row r="2" spans="1:7" x14ac:dyDescent="0.25">
      <c r="F2">
        <v>2.41</v>
      </c>
    </row>
    <row r="4" spans="1:7" x14ac:dyDescent="0.25">
      <c r="A4" t="s">
        <v>12</v>
      </c>
      <c r="B4" t="s">
        <v>3</v>
      </c>
      <c r="C4" t="s">
        <v>1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A5">
        <v>0</v>
      </c>
      <c r="B5" t="e">
        <f>$F$2/(2*SIN(RADIANS(A5)))</f>
        <v>#DIV/0!</v>
      </c>
      <c r="C5" t="e">
        <f>2*PI()/B5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B032-1DCA-449C-9038-7B7A3A498C61}">
  <dimension ref="A1:N19"/>
  <sheetViews>
    <sheetView tabSelected="1" workbookViewId="0">
      <selection activeCell="G13" sqref="G13"/>
    </sheetView>
  </sheetViews>
  <sheetFormatPr defaultRowHeight="15" x14ac:dyDescent="0.25"/>
  <cols>
    <col min="1" max="3" width="12.42578125" customWidth="1"/>
    <col min="4" max="4" width="11.5703125" customWidth="1"/>
    <col min="5" max="5" width="10.7109375" customWidth="1"/>
    <col min="6" max="6" width="15.5703125" customWidth="1"/>
    <col min="7" max="7" width="44.28515625" customWidth="1"/>
    <col min="8" max="8" width="47" customWidth="1"/>
    <col min="9" max="9" width="18.28515625" bestFit="1" customWidth="1"/>
    <col min="10" max="10" width="18.7109375" bestFit="1" customWidth="1"/>
    <col min="11" max="11" width="6.42578125" customWidth="1"/>
  </cols>
  <sheetData>
    <row r="1" spans="1:14" x14ac:dyDescent="0.25">
      <c r="A1" t="s">
        <v>0</v>
      </c>
      <c r="F1" s="2" t="s">
        <v>7</v>
      </c>
    </row>
    <row r="2" spans="1:14" x14ac:dyDescent="0.25">
      <c r="F2" s="2">
        <v>2.41</v>
      </c>
    </row>
    <row r="4" spans="1:14" x14ac:dyDescent="0.25">
      <c r="A4" t="s">
        <v>5</v>
      </c>
      <c r="B4" t="s">
        <v>6</v>
      </c>
      <c r="C4" t="s">
        <v>4</v>
      </c>
      <c r="D4" t="s">
        <v>2</v>
      </c>
      <c r="E4" t="s">
        <v>3</v>
      </c>
      <c r="F4" t="s">
        <v>12</v>
      </c>
      <c r="G4" t="s">
        <v>8</v>
      </c>
      <c r="H4" t="s">
        <v>18</v>
      </c>
      <c r="I4" t="s">
        <v>27</v>
      </c>
      <c r="J4" t="s">
        <v>28</v>
      </c>
      <c r="K4" t="s">
        <v>13</v>
      </c>
      <c r="L4" t="s">
        <v>9</v>
      </c>
      <c r="M4" t="s">
        <v>10</v>
      </c>
      <c r="N4" t="s">
        <v>11</v>
      </c>
    </row>
    <row r="5" spans="1:14" x14ac:dyDescent="0.25">
      <c r="A5" s="1">
        <v>-0.71399999999999997</v>
      </c>
      <c r="B5" s="1">
        <v>0.376</v>
      </c>
      <c r="C5" s="1">
        <v>-0.08</v>
      </c>
      <c r="D5" s="1">
        <f t="shared" ref="D5:D19" si="0">SQRT(A5^2+B5^2+C5^2)</f>
        <v>0.81090813289792563</v>
      </c>
      <c r="E5" s="1">
        <f t="shared" ref="E5:E19" si="1">2*PI()/D5</f>
        <v>7.7483318421354301</v>
      </c>
      <c r="F5" s="1">
        <f t="shared" ref="F5:F19" si="2">DEGREES(2*ASIN($F$2/(2*E5)))</f>
        <v>17.893603635941702</v>
      </c>
      <c r="G5" s="1" t="s">
        <v>17</v>
      </c>
      <c r="H5" s="1" t="s">
        <v>26</v>
      </c>
      <c r="I5" s="1">
        <v>2</v>
      </c>
      <c r="J5" s="1">
        <v>1</v>
      </c>
      <c r="K5" s="1"/>
      <c r="L5" s="1">
        <v>0</v>
      </c>
      <c r="M5" s="1">
        <v>2</v>
      </c>
      <c r="N5" s="1">
        <v>1</v>
      </c>
    </row>
    <row r="6" spans="1:14" x14ac:dyDescent="0.25">
      <c r="A6" s="2">
        <v>-1.0609999999999999</v>
      </c>
      <c r="B6" s="2">
        <v>0.34699999999999998</v>
      </c>
      <c r="C6" s="2">
        <v>-7.4999999999999997E-2</v>
      </c>
      <c r="D6" s="2">
        <f t="shared" si="0"/>
        <v>1.1188185733174079</v>
      </c>
      <c r="E6" s="2">
        <f t="shared" si="1"/>
        <v>5.6159107982533039</v>
      </c>
      <c r="F6" s="2">
        <f t="shared" si="2"/>
        <v>24.780477831107376</v>
      </c>
      <c r="G6" s="2" t="s">
        <v>16</v>
      </c>
      <c r="H6" s="2" t="s">
        <v>19</v>
      </c>
      <c r="I6" s="2">
        <v>3</v>
      </c>
      <c r="J6" s="2">
        <v>1</v>
      </c>
      <c r="K6" s="2"/>
      <c r="L6" s="2">
        <v>0</v>
      </c>
      <c r="M6" s="2">
        <v>3</v>
      </c>
      <c r="N6" s="2">
        <v>1</v>
      </c>
    </row>
    <row r="7" spans="1:14" x14ac:dyDescent="0.25">
      <c r="A7" s="1">
        <v>-1.4139999999999999</v>
      </c>
      <c r="B7" s="1">
        <v>0.34699999999999998</v>
      </c>
      <c r="C7" s="1">
        <v>-8.8999999999999996E-2</v>
      </c>
      <c r="D7" s="1">
        <f t="shared" si="0"/>
        <v>1.4586726843264048</v>
      </c>
      <c r="E7" s="1">
        <f t="shared" si="1"/>
        <v>4.307467586589568</v>
      </c>
      <c r="F7" s="1">
        <f t="shared" si="2"/>
        <v>32.490179477819531</v>
      </c>
      <c r="G7" s="1" t="s">
        <v>16</v>
      </c>
      <c r="H7" s="1" t="s">
        <v>20</v>
      </c>
      <c r="I7" s="1">
        <v>4</v>
      </c>
      <c r="J7" s="1">
        <v>1</v>
      </c>
      <c r="K7" s="1"/>
      <c r="L7" s="1">
        <v>0</v>
      </c>
      <c r="M7" s="1">
        <v>4</v>
      </c>
      <c r="N7" s="1">
        <v>1</v>
      </c>
    </row>
    <row r="8" spans="1:14" x14ac:dyDescent="0.25">
      <c r="A8" s="1">
        <v>-1.3839999999999999</v>
      </c>
      <c r="B8" s="1">
        <v>-8.6999999999999994E-2</v>
      </c>
      <c r="C8" s="1">
        <v>-8.6999999999999994E-2</v>
      </c>
      <c r="D8" s="1">
        <f t="shared" si="0"/>
        <v>1.3894581677762017</v>
      </c>
      <c r="E8" s="1">
        <f t="shared" si="1"/>
        <v>4.5220399238328213</v>
      </c>
      <c r="F8" s="1">
        <f t="shared" si="2"/>
        <v>30.90895355901354</v>
      </c>
      <c r="G8" s="1" t="s">
        <v>15</v>
      </c>
      <c r="H8" s="1" t="s">
        <v>21</v>
      </c>
      <c r="I8" s="1">
        <v>4</v>
      </c>
      <c r="J8" s="1">
        <v>0</v>
      </c>
      <c r="K8" s="1"/>
      <c r="L8" s="1">
        <v>0</v>
      </c>
      <c r="M8" s="1">
        <v>4</v>
      </c>
      <c r="N8" s="1">
        <v>0</v>
      </c>
    </row>
    <row r="9" spans="1:14" x14ac:dyDescent="0.25">
      <c r="A9" s="1">
        <v>-2.0939999999999999</v>
      </c>
      <c r="B9" s="1">
        <v>-0.13600000000000001</v>
      </c>
      <c r="C9" s="1">
        <v>-0.129</v>
      </c>
      <c r="D9" s="1">
        <f t="shared" si="0"/>
        <v>2.1023731828578862</v>
      </c>
      <c r="E9" s="1">
        <f t="shared" si="1"/>
        <v>2.9886156075480677</v>
      </c>
      <c r="F9" s="1">
        <f t="shared" si="2"/>
        <v>47.556346766165028</v>
      </c>
      <c r="G9" s="1" t="s">
        <v>14</v>
      </c>
      <c r="H9" s="1" t="s">
        <v>22</v>
      </c>
      <c r="I9" s="1">
        <v>6</v>
      </c>
      <c r="J9" s="1">
        <v>0</v>
      </c>
      <c r="K9" s="1"/>
      <c r="L9" s="1">
        <v>0</v>
      </c>
      <c r="M9" s="1">
        <v>6</v>
      </c>
      <c r="N9" s="1">
        <v>0</v>
      </c>
    </row>
    <row r="10" spans="1:14" x14ac:dyDescent="0.25">
      <c r="A10" s="1">
        <v>-2.7869999999999999</v>
      </c>
      <c r="B10" s="1">
        <v>-0.17799999999999999</v>
      </c>
      <c r="C10" s="1">
        <v>-0.17100000000000001</v>
      </c>
      <c r="D10" s="1">
        <f t="shared" si="0"/>
        <v>2.7979088619896109</v>
      </c>
      <c r="E10" s="1">
        <f t="shared" si="1"/>
        <v>2.245671898945119</v>
      </c>
      <c r="F10" s="1">
        <f t="shared" si="2"/>
        <v>64.903303911468953</v>
      </c>
      <c r="G10" s="1"/>
      <c r="H10" s="1" t="s">
        <v>23</v>
      </c>
      <c r="I10" s="1">
        <v>8</v>
      </c>
      <c r="J10" s="1">
        <v>0</v>
      </c>
      <c r="K10" s="1"/>
      <c r="L10" s="1">
        <v>0</v>
      </c>
      <c r="M10" s="1">
        <v>8</v>
      </c>
      <c r="N10" s="1">
        <v>0</v>
      </c>
    </row>
    <row r="11" spans="1:14" x14ac:dyDescent="0.25">
      <c r="A11" s="1">
        <v>-1.0089999999999999</v>
      </c>
      <c r="B11" s="1">
        <v>-0.47299999999999998</v>
      </c>
      <c r="C11" s="1">
        <v>-7.8E-2</v>
      </c>
      <c r="D11" s="1">
        <f t="shared" si="0"/>
        <v>1.117091759883672</v>
      </c>
      <c r="E11" s="1">
        <f t="shared" si="1"/>
        <v>5.624591938475926</v>
      </c>
      <c r="F11" s="1">
        <f t="shared" si="2"/>
        <v>24.741624886596192</v>
      </c>
      <c r="G11" s="1"/>
      <c r="H11" s="1" t="s">
        <v>24</v>
      </c>
      <c r="I11" s="1">
        <v>3</v>
      </c>
      <c r="J11" s="1">
        <v>-1</v>
      </c>
      <c r="K11" s="1"/>
      <c r="L11" s="1">
        <v>0</v>
      </c>
      <c r="M11" s="1">
        <v>3</v>
      </c>
      <c r="N11" s="1">
        <v>-1</v>
      </c>
    </row>
    <row r="12" spans="1:14" x14ac:dyDescent="0.25">
      <c r="A12" s="1">
        <v>-1.3620000000000001</v>
      </c>
      <c r="B12" s="1">
        <v>-0.50800000000000001</v>
      </c>
      <c r="C12" s="1">
        <v>-9.6000000000000002E-2</v>
      </c>
      <c r="D12" s="1">
        <f t="shared" si="0"/>
        <v>1.4568198241374946</v>
      </c>
      <c r="E12" s="1">
        <f t="shared" si="1"/>
        <v>4.3129460507578727</v>
      </c>
      <c r="F12" s="1">
        <f t="shared" si="2"/>
        <v>32.44776887776657</v>
      </c>
      <c r="G12" s="1"/>
      <c r="H12" s="1" t="s">
        <v>25</v>
      </c>
      <c r="I12" s="1">
        <v>4</v>
      </c>
      <c r="J12" s="1">
        <v>-1</v>
      </c>
      <c r="K12" s="1"/>
      <c r="L12" s="1">
        <v>0</v>
      </c>
      <c r="M12" s="1">
        <v>4</v>
      </c>
      <c r="N12" s="1">
        <v>-1</v>
      </c>
    </row>
    <row r="13" spans="1:14" x14ac:dyDescent="0.25">
      <c r="A13" s="2">
        <v>-3.1105</v>
      </c>
      <c r="B13" s="2">
        <v>-0.61919999999999997</v>
      </c>
      <c r="C13" s="2">
        <v>-0.191</v>
      </c>
      <c r="D13" s="2">
        <f t="shared" si="0"/>
        <v>3.1772786925291903</v>
      </c>
      <c r="E13" s="2">
        <f t="shared" si="1"/>
        <v>1.977536727248191</v>
      </c>
      <c r="F13" s="2">
        <f t="shared" si="2"/>
        <v>75.08415979265942</v>
      </c>
      <c r="G13" s="2" t="s">
        <v>16</v>
      </c>
      <c r="H13" s="2" t="s">
        <v>29</v>
      </c>
      <c r="I13" s="2">
        <v>9</v>
      </c>
      <c r="J13" s="2">
        <v>-1</v>
      </c>
      <c r="K13" s="2"/>
      <c r="L13" s="2">
        <v>0</v>
      </c>
      <c r="M13" s="2">
        <v>9</v>
      </c>
      <c r="N13" s="2">
        <v>-1</v>
      </c>
    </row>
    <row r="14" spans="1:14" x14ac:dyDescent="0.25">
      <c r="A14" s="1"/>
      <c r="B14" s="1"/>
      <c r="C14" s="1"/>
      <c r="D14" s="1">
        <f t="shared" si="0"/>
        <v>0</v>
      </c>
      <c r="E14" s="1" t="e">
        <f t="shared" si="1"/>
        <v>#DIV/0!</v>
      </c>
      <c r="F14" s="1" t="e">
        <f t="shared" si="2"/>
        <v>#DIV/0!</v>
      </c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>
        <f t="shared" si="0"/>
        <v>0</v>
      </c>
      <c r="E15" s="1" t="e">
        <f t="shared" si="1"/>
        <v>#DIV/0!</v>
      </c>
      <c r="F15" s="1" t="e">
        <f t="shared" si="2"/>
        <v>#DIV/0!</v>
      </c>
      <c r="G15" s="1"/>
      <c r="H15" s="1"/>
      <c r="I15" s="1"/>
      <c r="J15" s="1"/>
      <c r="K15" s="1"/>
      <c r="L15" s="1"/>
      <c r="M15" s="1"/>
      <c r="N15" s="1"/>
    </row>
    <row r="16" spans="1:14" x14ac:dyDescent="0.25">
      <c r="D16" s="1">
        <f t="shared" si="0"/>
        <v>0</v>
      </c>
      <c r="E16" s="1" t="e">
        <f t="shared" si="1"/>
        <v>#DIV/0!</v>
      </c>
      <c r="F16" s="1" t="e">
        <f t="shared" si="2"/>
        <v>#DIV/0!</v>
      </c>
    </row>
    <row r="17" spans="1:14" x14ac:dyDescent="0.25">
      <c r="D17" s="1">
        <f t="shared" si="0"/>
        <v>0</v>
      </c>
      <c r="E17" s="1" t="e">
        <f t="shared" si="1"/>
        <v>#DIV/0!</v>
      </c>
      <c r="F17" s="1" t="e">
        <f t="shared" si="2"/>
        <v>#DIV/0!</v>
      </c>
    </row>
    <row r="18" spans="1:14" x14ac:dyDescent="0.25">
      <c r="A18" s="1"/>
      <c r="B18" s="1"/>
      <c r="C18" s="1"/>
      <c r="D18" s="1">
        <f t="shared" si="0"/>
        <v>0</v>
      </c>
      <c r="E18" s="1" t="e">
        <f t="shared" si="1"/>
        <v>#DIV/0!</v>
      </c>
      <c r="F18" s="1" t="e">
        <f t="shared" si="2"/>
        <v>#DIV/0!</v>
      </c>
      <c r="G18" s="1"/>
      <c r="H18" s="1"/>
      <c r="I18" s="1"/>
      <c r="J18" s="1"/>
      <c r="K18" s="1"/>
      <c r="L18" s="1"/>
      <c r="M18" s="1"/>
      <c r="N18" s="1"/>
    </row>
    <row r="19" spans="1:14" x14ac:dyDescent="0.25">
      <c r="D19" s="1">
        <f t="shared" si="0"/>
        <v>0</v>
      </c>
      <c r="E19" s="1" t="e">
        <f t="shared" si="1"/>
        <v>#DIV/0!</v>
      </c>
      <c r="F19" s="1" t="e">
        <f t="shared" si="2"/>
        <v>#DIV/0!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2theta_to_Q</vt:lpstr>
      <vt:lpstr>Q_to_2theta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2025-04-01T23:28:17Z</dcterms:created>
  <dcterms:modified xsi:type="dcterms:W3CDTF">2025-04-16T04:37:32Z</dcterms:modified>
</cp:coreProperties>
</file>